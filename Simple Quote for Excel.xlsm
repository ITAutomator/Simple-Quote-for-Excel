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ethinkit365.sharepoint.com/sites/Apps/Shared Documents/General/Unpackaged/Simple Quote for Excel/"/>
    </mc:Choice>
  </mc:AlternateContent>
  <xr:revisionPtr revIDLastSave="26381" documentId="13_ncr:1_{3EC6E739-337D-489D-8210-D5FA2706F7DA}" xr6:coauthVersionLast="47" xr6:coauthVersionMax="47" xr10:uidLastSave="{C6050434-E284-44C1-8E9D-1842FE4D3A68}"/>
  <bookViews>
    <workbookView xWindow="2970" yWindow="130" windowWidth="17280" windowHeight="10690" xr2:uid="{00000000-000D-0000-FFFF-FFFF00000000}"/>
  </bookViews>
  <sheets>
    <sheet name="Quotes" sheetId="2" r:id="rId1"/>
    <sheet name="PDF" sheetId="1" r:id="rId2"/>
    <sheet name="Info" sheetId="3" r:id="rId3"/>
  </sheets>
  <functionGroups builtInGroupCount="19"/>
  <definedNames>
    <definedName name="_xleta.INFO" hidden="1" xlm="1">#NAME?</definedName>
    <definedName name="_xlnm.Print_Area" localSheetId="1">PDF!$E$8:$J$23</definedName>
    <definedName name="varFilePrefix">Info!$C$28</definedName>
    <definedName name="varLicenseKey">Info!$C$25</definedName>
    <definedName name="varLicenseMax">Info!$C$26</definedName>
    <definedName name="varQuoteBase">Info!$C$22</definedName>
    <definedName name="varQuoteCount">Info!$C$24</definedName>
    <definedName name="varQuoteDetail">PDF!$E$17</definedName>
    <definedName name="varQuoteHeader">PDF!$E$8</definedName>
    <definedName name="varQuoteNext">Info!$C$23</definedName>
    <definedName name="varQuoteNo">PDF!$B$3</definedName>
    <definedName name="varQuoteTotal">PDF!$J$14</definedName>
    <definedName name="varVersion">Info!$C$27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1" l="1"/>
  <c r="P10" i="2" l="1"/>
  <c r="P11" i="2"/>
  <c r="P12" i="2"/>
  <c r="P9" i="2"/>
  <c r="M10" i="2"/>
  <c r="M11" i="2"/>
  <c r="M12" i="2"/>
  <c r="M9" i="2"/>
  <c r="D1" i="2" l="1"/>
  <c r="B3" i="3"/>
  <c r="S12" i="2" l="1"/>
  <c r="U12" i="2"/>
  <c r="S11" i="2"/>
  <c r="V12" i="2"/>
  <c r="V11" i="2"/>
  <c r="S10" i="2"/>
  <c r="U11" i="2"/>
  <c r="V9" i="2"/>
  <c r="S9" i="2"/>
  <c r="V10" i="2"/>
  <c r="U10" i="2"/>
  <c r="U9" i="2"/>
  <c r="C23" i="3"/>
  <c r="C24" i="3" a="1"/>
  <c r="C24" i="3" s="1"/>
  <c r="W10" i="2" l="1"/>
  <c r="W9" i="2"/>
  <c r="W11" i="2"/>
  <c r="W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<sst xmlns="http://schemas.openxmlformats.org/spreadsheetml/2006/main" count="162" uniqueCount="137">
  <si>
    <t>Draft</t>
  </si>
  <si>
    <t>To create a new quote: click New Quote and edit the orange columns</t>
  </si>
  <si>
    <t>Quote Sent</t>
  </si>
  <si>
    <t>To delete a line from a quote: Right-click any cell in the table &gt; Delete &gt; Table Row</t>
  </si>
  <si>
    <t>Shipped</t>
  </si>
  <si>
    <t>Optional data and calcs here</t>
  </si>
  <si>
    <t>Invoiced</t>
  </si>
  <si>
    <t>Header</t>
  </si>
  <si>
    <t>Detail</t>
  </si>
  <si>
    <t>tblQuotes</t>
  </si>
  <si>
    <t>Employee Initials</t>
  </si>
  <si>
    <t>Create ItemGroups by repeating a group name (Optional)</t>
  </si>
  <si>
    <t>put URL link here</t>
  </si>
  <si>
    <t>[calc]</t>
  </si>
  <si>
    <t>T = taxable item</t>
  </si>
  <si>
    <t>Status codes are customizable</t>
  </si>
  <si>
    <t>Customer Name</t>
  </si>
  <si>
    <t>Quote Name</t>
  </si>
  <si>
    <t>sort here</t>
  </si>
  <si>
    <t>Per Unit Price</t>
  </si>
  <si>
    <t>purchased from</t>
  </si>
  <si>
    <t>cost per unit</t>
  </si>
  <si>
    <t>Does this item need to be taxed on invoice?</t>
  </si>
  <si>
    <t>Does Shipping and Handling apply (additional line  charge for invoice)</t>
  </si>
  <si>
    <t>QuoteNo</t>
  </si>
  <si>
    <t>QuoteCustomer</t>
  </si>
  <si>
    <t>Agent</t>
  </si>
  <si>
    <t>QuoteName</t>
  </si>
  <si>
    <t>QuoteDate</t>
  </si>
  <si>
    <t>LineNo</t>
  </si>
  <si>
    <t>ItemGroup</t>
  </si>
  <si>
    <t>ItemDescription</t>
  </si>
  <si>
    <t>MoreInfo</t>
  </si>
  <si>
    <t>Qty</t>
  </si>
  <si>
    <t>UnitPrice</t>
  </si>
  <si>
    <t>PriceExt</t>
  </si>
  <si>
    <t>Vendor</t>
  </si>
  <si>
    <t>UnitCost</t>
  </si>
  <si>
    <t>CostExt</t>
  </si>
  <si>
    <t>ItemCode</t>
  </si>
  <si>
    <t>Shipping</t>
  </si>
  <si>
    <t>Profit</t>
  </si>
  <si>
    <t>Status</t>
  </si>
  <si>
    <t>QuoteTtl</t>
  </si>
  <si>
    <t>QuoteCost</t>
  </si>
  <si>
    <t>QuoteProfit</t>
  </si>
  <si>
    <t>QuoteCurrency</t>
  </si>
  <si>
    <t>QuoteNote</t>
  </si>
  <si>
    <t>InternalNotes</t>
  </si>
  <si>
    <t>Contoso Corp</t>
  </si>
  <si>
    <t>ITT</t>
  </si>
  <si>
    <t>Equipment Order</t>
  </si>
  <si>
    <t>Item Group 1</t>
  </si>
  <si>
    <t>Item description for item 1</t>
  </si>
  <si>
    <t>Item description for item 2</t>
  </si>
  <si>
    <t>Item Group 2</t>
  </si>
  <si>
    <t>Item description for item 3</t>
  </si>
  <si>
    <t>Item description for item 4</t>
  </si>
  <si>
    <t>USD</t>
  </si>
  <si>
    <t>EUR</t>
  </si>
  <si>
    <t>GBP</t>
  </si>
  <si>
    <t>Quote Lookup</t>
  </si>
  <si>
    <r>
      <rPr>
        <b/>
        <i/>
        <sz val="11"/>
        <color theme="1"/>
        <rFont val="Calibri"/>
        <family val="2"/>
        <scheme val="minor"/>
      </rPr>
      <t>Simple Quote</t>
    </r>
    <r>
      <rPr>
        <sz val="11"/>
        <color theme="1"/>
        <rFont val="Calibri"/>
        <family val="2"/>
        <scheme val="minor"/>
      </rPr>
      <t xml:space="preserve"> for Excel</t>
    </r>
  </si>
  <si>
    <t>QuoteNumber</t>
  </si>
  <si>
    <t>This quote is an estimate and may not include shipping and (T)axes</t>
  </si>
  <si>
    <t>varQuoteTotal</t>
  </si>
  <si>
    <t>Total</t>
  </si>
  <si>
    <t>Item Description</t>
  </si>
  <si>
    <t>More Info</t>
  </si>
  <si>
    <t>Price</t>
  </si>
  <si>
    <t>Ext</t>
  </si>
  <si>
    <t>varQuoteDetail</t>
  </si>
  <si>
    <t>Simple Quote for Excel</t>
  </si>
  <si>
    <t>General Info</t>
  </si>
  <si>
    <t>Simple quote PDF printing and tracking system using Excel</t>
  </si>
  <si>
    <r>
      <t xml:space="preserve">See </t>
    </r>
    <r>
      <rPr>
        <i/>
        <sz val="11"/>
        <color theme="1"/>
        <rFont val="Calibri"/>
        <family val="2"/>
        <scheme val="minor"/>
      </rPr>
      <t>Readme</t>
    </r>
    <r>
      <rPr>
        <sz val="11"/>
        <color theme="1"/>
        <rFont val="Calibri"/>
        <family val="2"/>
        <scheme val="minor"/>
      </rPr>
      <t xml:space="preserve"> file for more information</t>
    </r>
  </si>
  <si>
    <t>See www.itautomator.com to purchase or for more information.</t>
  </si>
  <si>
    <t>Quotes table</t>
  </si>
  <si>
    <t>Fill in the Orange (required) columns.</t>
  </si>
  <si>
    <t>Header columns are dark orange and must be repeated (copied down)</t>
  </si>
  <si>
    <t>Detail columns are light orange</t>
  </si>
  <si>
    <t>Detail columns can be grouped by repeating the Item Group name (copied down)</t>
  </si>
  <si>
    <t>Non-orange columns are optional</t>
  </si>
  <si>
    <t>Quote Printing</t>
  </si>
  <si>
    <t>Enter the Quote number and click Read Order</t>
  </si>
  <si>
    <t>Click Print Order to save the quote as a PDF (to the current folder)</t>
  </si>
  <si>
    <t>Variables</t>
  </si>
  <si>
    <t>varQuoteBase</t>
  </si>
  <si>
    <t>Base number for quotes (ENTER # HERE)</t>
  </si>
  <si>
    <t>varQuoteNext</t>
  </si>
  <si>
    <t>Next available quote #</t>
  </si>
  <si>
    <t>varQuoteCount</t>
  </si>
  <si>
    <t>Number of Quotes</t>
  </si>
  <si>
    <t>varLicenseKey</t>
  </si>
  <si>
    <t>License Key (ENTER KEY HERE)</t>
  </si>
  <si>
    <t>varLicenseMax</t>
  </si>
  <si>
    <t>Max licenses by this key (press New Quote to refresh)</t>
  </si>
  <si>
    <t>varVersion</t>
  </si>
  <si>
    <t>Program version</t>
  </si>
  <si>
    <t>varFilePrefix</t>
  </si>
  <si>
    <t>File Prefix (ENTER HERE)</t>
  </si>
  <si>
    <t>tblCurrency</t>
  </si>
  <si>
    <t>Code</t>
  </si>
  <si>
    <t>Symbol</t>
  </si>
  <si>
    <t>Thousands</t>
  </si>
  <si>
    <t>Decimal</t>
  </si>
  <si>
    <t>$</t>
  </si>
  <si>
    <t>,</t>
  </si>
  <si>
    <t>.</t>
  </si>
  <si>
    <t>£</t>
  </si>
  <si>
    <t>€</t>
  </si>
  <si>
    <t>Versions</t>
  </si>
  <si>
    <t>Version</t>
  </si>
  <si>
    <t>Date</t>
  </si>
  <si>
    <t>Notes</t>
  </si>
  <si>
    <t>v2.7</t>
  </si>
  <si>
    <t>Default (blank) currency is USD</t>
  </si>
  <si>
    <t>v2.6</t>
  </si>
  <si>
    <t>Currencies added</t>
  </si>
  <si>
    <t>v2.5</t>
  </si>
  <si>
    <t>Added extra columns for information</t>
  </si>
  <si>
    <t>v2.0</t>
  </si>
  <si>
    <t>Initial Version</t>
  </si>
  <si>
    <t>v1.5</t>
  </si>
  <si>
    <t>v1.0</t>
  </si>
  <si>
    <t>v2.8</t>
  </si>
  <si>
    <t>Qty (blank) is Qty 1.  Qty 0 is 0.</t>
  </si>
  <si>
    <t>Customer: Contoso Corp</t>
  </si>
  <si>
    <t>Date: 2023-Jul-06</t>
  </si>
  <si>
    <t>Quote Number (Agent): 1000 (ITT) USD</t>
  </si>
  <si>
    <t>Item Group 1 [$ 200.00]</t>
  </si>
  <si>
    <t>Item Group 2 [$ 200.00]</t>
  </si>
  <si>
    <t>Quote 1000 loaded: 6 lines</t>
  </si>
  <si>
    <t>Tel +1-222-333-4444</t>
  </si>
  <si>
    <t>sales@contoso.com</t>
  </si>
  <si>
    <t>itautomator.com</t>
  </si>
  <si>
    <t>(Change orange cells only)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</si>
</sst>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yyyy\-mm\-dd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i/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left" vertical="top"/>
    </xf>
    <xf numFmtId="0" fontId="4" fillId="0" borderId="0" xfId="0" applyFont="1"/>
    <xf numFmtId="0" fontId="4" fillId="0" borderId="0" xfId="0" applyFont="1" applyAlignment="1">
      <alignment horizontal="left" vertical="top"/>
    </xf>
    <xf numFmtId="0" fontId="3" fillId="0" borderId="0" xfId="2"/>
    <xf numFmtId="0" fontId="3" fillId="0" borderId="0" xfId="2" applyAlignment="1">
      <alignment horizontal="left" vertical="top"/>
    </xf>
    <xf numFmtId="0" fontId="2" fillId="0" borderId="0" xfId="0" applyFont="1"/>
    <xf numFmtId="0" fontId="2" fillId="0" borderId="0" xfId="0" applyFont="1" applyAlignment="1">
      <alignment horizontal="left" vertical="top"/>
    </xf>
    <xf numFmtId="0" fontId="5" fillId="0" borderId="0" xfId="0" applyFont="1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right" vertical="top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7" fillId="0" borderId="0" xfId="0" applyFont="1"/>
    <xf numFmtId="0" fontId="0" fillId="0" borderId="0" xfId="0" applyAlignment="1">
      <alignment horizontal="right" vertical="top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44" fontId="0" fillId="0" borderId="0" xfId="1" applyFont="1" applyAlignment="1">
      <alignment vertical="top"/>
    </xf>
    <xf numFmtId="0" fontId="0" fillId="5" borderId="0" xfId="0" applyFill="1"/>
    <xf numFmtId="0" fontId="5" fillId="0" borderId="0" xfId="0" applyFont="1" applyAlignment="1">
      <alignment vertical="top"/>
    </xf>
    <xf numFmtId="0" fontId="0" fillId="6" borderId="0" xfId="0" applyFill="1"/>
    <xf numFmtId="0" fontId="5" fillId="0" borderId="0" xfId="1" applyNumberFormat="1" applyFont="1" applyAlignment="1">
      <alignment vertical="top"/>
    </xf>
    <xf numFmtId="0" fontId="9" fillId="0" borderId="0" xfId="0" applyFont="1" applyAlignment="1">
      <alignment vertical="top"/>
    </xf>
    <xf numFmtId="164" fontId="9" fillId="0" borderId="0" xfId="0" applyNumberFormat="1" applyFont="1" applyAlignment="1">
      <alignment vertical="top"/>
    </xf>
    <xf numFmtId="44" fontId="11" fillId="0" borderId="0" xfId="0" applyNumberFormat="1" applyFont="1" applyAlignment="1">
      <alignment vertical="top"/>
    </xf>
    <xf numFmtId="0" fontId="0" fillId="7" borderId="0" xfId="0" applyFill="1"/>
    <xf numFmtId="0" fontId="0" fillId="0" borderId="0" xfId="0" applyAlignment="1">
      <alignment horizontal="center" vertical="top"/>
    </xf>
    <xf numFmtId="44" fontId="12" fillId="0" borderId="0" xfId="1" applyFont="1" applyAlignment="1">
      <alignment vertical="top"/>
    </xf>
    <xf numFmtId="0" fontId="14" fillId="0" borderId="0" xfId="0" applyFont="1"/>
    <xf numFmtId="164" fontId="13" fillId="0" borderId="0" xfId="0" applyNumberFormat="1" applyFont="1" applyAlignment="1">
      <alignment vertical="top"/>
    </xf>
    <xf numFmtId="44" fontId="5" fillId="0" borderId="0" xfId="1" applyFont="1" applyAlignment="1">
      <alignment vertical="top"/>
    </xf>
    <xf numFmtId="44" fontId="11" fillId="0" borderId="0" xfId="1" applyFont="1" applyAlignment="1">
      <alignment vertical="top"/>
    </xf>
    <xf numFmtId="0" fontId="16" fillId="0" borderId="0" xfId="0" applyFont="1"/>
    <xf numFmtId="44" fontId="2" fillId="0" borderId="0" xfId="1" applyFont="1" applyAlignment="1">
      <alignment horizontal="right"/>
    </xf>
    <xf numFmtId="44" fontId="0" fillId="0" borderId="0" xfId="1" applyFont="1"/>
    <xf numFmtId="44" fontId="5" fillId="0" borderId="1" xfId="1" applyFont="1" applyBorder="1" applyAlignment="1">
      <alignment horizontal="right" vertical="top"/>
    </xf>
    <xf numFmtId="44" fontId="5" fillId="0" borderId="1" xfId="1" applyFont="1" applyBorder="1" applyAlignment="1">
      <alignment horizontal="left" vertical="top"/>
    </xf>
    <xf numFmtId="44" fontId="0" fillId="0" borderId="0" xfId="1" applyFont="1" applyBorder="1" applyAlignment="1">
      <alignment horizontal="left" vertical="top"/>
    </xf>
    <xf numFmtId="0" fontId="8" fillId="5" borderId="0" xfId="0" applyFont="1" applyFill="1" applyAlignment="1">
      <alignment horizontal="center" vertical="top"/>
    </xf>
    <xf numFmtId="0" fontId="15" fillId="0" borderId="0" xfId="0" applyFont="1"/>
    <xf numFmtId="44" fontId="0" fillId="0" borderId="0" xfId="0" applyNumberFormat="1" applyAlignment="1">
      <alignment vertical="top"/>
    </xf>
    <xf numFmtId="44" fontId="10" fillId="0" borderId="0" xfId="1" applyFont="1" applyAlignment="1">
      <alignment vertical="top"/>
    </xf>
    <xf numFmtId="44" fontId="2" fillId="0" borderId="0" xfId="1" applyNumberFormat="1" applyFont="1"/>
    <xf numFmtId="0" fontId="0" fillId="0" borderId="0" xfId="0" applyFont="1" applyAlignment="1">
      <alignment vertical="top" wrapText="1"/>
    </xf>
  </cellXfs>
  <cellStyles count="3">
    <cellStyle name="Currency" xfId="1" builtinId="4"/>
    <cellStyle name="Hyperlink" xfId="2" builtinId="8"/>
    <cellStyle name="Normal" xfId="0" builtinId="0"/>
  </cellStyles>
  <dxfs count="25">
    <dxf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alignment horizontal="general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4" formatCode="yyyy\-mm\-dd;@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10885</xdr:colOff>
      <xdr:row>0</xdr:row>
      <xdr:rowOff>27216</xdr:rowOff>
    </xdr:from>
    <xdr:to>
      <xdr:col>1</xdr:col>
      <xdr:colOff>866775</xdr:colOff>
      <xdr:row>1</xdr:row>
      <xdr:rowOff>87087</xdr:rowOff>
    </xdr:to>
    <xdr:sp macro="[0]!QuoteNe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378C279-AB0E-4B25-9531-24E31A406BA1}"/>
            </a:ext>
          </a:extLst>
        </xdr:cNvPr>
        <xdr:cNvSpPr/>
      </xdr:nvSpPr>
      <xdr:spPr bwMode="auto">
        <a:xfrm>
          <a:off x="515710" y="27216"/>
          <a:ext cx="855890" cy="25037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/>
            <a:t>New</a:t>
          </a:r>
          <a:r>
            <a:rPr lang="en-US" sz="1100" baseline="0"/>
            <a:t> Quote</a:t>
          </a:r>
          <a:endParaRPr lang="en-US" sz="1100"/>
        </a:p>
      </xdr:txBody>
    </xdr:sp>
    <xdr:clientData/>
  </xdr:twoCellAnchor>
  <xdr:twoCellAnchor>
    <xdr:from>
      <xdr:col>1</xdr:col>
      <xdr:colOff>0</xdr:colOff>
      <xdr:row>1</xdr:row>
      <xdr:rowOff>130627</xdr:rowOff>
    </xdr:from>
    <xdr:to>
      <xdr:col>1</xdr:col>
      <xdr:colOff>866775</xdr:colOff>
      <xdr:row>3</xdr:row>
      <xdr:rowOff>5441</xdr:rowOff>
    </xdr:to>
    <xdr:sp macro="[0]!PDFQuo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85F52C8-09EB-4828-B13F-17598A6E2301}"/>
            </a:ext>
          </a:extLst>
        </xdr:cNvPr>
        <xdr:cNvSpPr/>
      </xdr:nvSpPr>
      <xdr:spPr bwMode="auto">
        <a:xfrm>
          <a:off x="504825" y="321127"/>
          <a:ext cx="866775" cy="255814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 baseline="0"/>
            <a:t>PDF Quote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</xdr:row>
      <xdr:rowOff>76200</xdr:rowOff>
    </xdr:from>
    <xdr:to>
      <xdr:col>1</xdr:col>
      <xdr:colOff>949778</xdr:colOff>
      <xdr:row>7</xdr:row>
      <xdr:rowOff>97972</xdr:rowOff>
    </xdr:to>
    <xdr:sp macro="[0]!QuoteLoo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685BB9-0019-4F76-84A9-34809F812ED9}"/>
            </a:ext>
          </a:extLst>
        </xdr:cNvPr>
        <xdr:cNvSpPr/>
      </xdr:nvSpPr>
      <xdr:spPr bwMode="auto">
        <a:xfrm>
          <a:off x="793750" y="1257300"/>
          <a:ext cx="943428" cy="39007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 baseline="0"/>
            <a:t>Quote Lookup</a:t>
          </a:r>
          <a:endParaRPr lang="en-US" sz="1100"/>
        </a:p>
      </xdr:txBody>
    </xdr:sp>
    <xdr:clientData/>
  </xdr:twoCellAnchor>
  <xdr:twoCellAnchor>
    <xdr:from>
      <xdr:col>1</xdr:col>
      <xdr:colOff>19050</xdr:colOff>
      <xdr:row>7</xdr:row>
      <xdr:rowOff>190500</xdr:rowOff>
    </xdr:from>
    <xdr:to>
      <xdr:col>1</xdr:col>
      <xdr:colOff>962478</xdr:colOff>
      <xdr:row>9</xdr:row>
      <xdr:rowOff>129722</xdr:rowOff>
    </xdr:to>
    <xdr:sp macro="[0]!QuoteEx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AAF7040-C0A4-44D9-8F51-F436BF4D2DA7}"/>
            </a:ext>
          </a:extLst>
        </xdr:cNvPr>
        <xdr:cNvSpPr/>
      </xdr:nvSpPr>
      <xdr:spPr bwMode="auto">
        <a:xfrm>
          <a:off x="806450" y="1739900"/>
          <a:ext cx="943428" cy="39007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 baseline="0"/>
            <a:t>Export to PDF</a:t>
          </a:r>
          <a:endParaRPr lang="en-US" sz="1100"/>
        </a:p>
      </xdr:txBody>
    </xdr:sp>
    <xdr:clientData/>
  </xdr:twoCellAnchor>
  <xdr:twoCellAnchor editAs="oneCell">
    <xdr:from>
      <xdr:col>7</xdr:col>
      <xdr:colOff>882650</xdr:colOff>
      <xdr:row>7</xdr:row>
      <xdr:rowOff>25400</xdr:rowOff>
    </xdr:from>
    <xdr:to>
      <xdr:col>9</xdr:col>
      <xdr:colOff>925873</xdr:colOff>
      <xdr:row>7</xdr:row>
      <xdr:rowOff>175058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4D449CE-BC49-4D8A-A4F1-77FE1F915F2E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013700" y="1574800"/>
          <a:ext cx="1294173" cy="1496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0815CA-7883-4B21-955E-DC08F422BCF5}" name="tblQuotes" displayName="tblQuotes" ref="B8:Z12" totalsRowShown="0">
  <autoFilter ref="B8:Z12" xr:uid="{070815CA-7883-4B21-955E-DC08F422BCF5}"/>
  <sortState xmlns:xlrd2="http://schemas.microsoft.com/office/spreadsheetml/2017/richdata2" ref="B9:Z12">
    <sortCondition ref="B8:B12"/>
  </sortState>
  <tableColumns count="25">
    <tableColumn id="1" xr3:uid="{9FCDBA14-9A49-4AE8-90D6-47B3CE46CDA2}" name="QuoteNo" dataDxfId="24"/>
    <tableColumn id="15" xr3:uid="{C1244F48-8DDC-4C40-B188-5045DD5F7A35}" name="QuoteCustomer" dataDxfId="23"/>
    <tableColumn id="23" xr3:uid="{2DD65DCF-D6AB-47C3-9BDA-FC12BA967348}" name="Agent" dataDxfId="22"/>
    <tableColumn id="2" xr3:uid="{19F992E5-FE4C-4644-B222-1F9E08361A95}" name="QuoteName" dataDxfId="21"/>
    <tableColumn id="16" xr3:uid="{79D222A4-EC08-4C2A-8A06-7B64ED8DEFF0}" name="QuoteDate" dataDxfId="20"/>
    <tableColumn id="3" xr3:uid="{B5DF2474-3D71-4BA0-BDCE-78D06B9F27F2}" name="LineNo" dataDxfId="19"/>
    <tableColumn id="4" xr3:uid="{83E835F5-8A2D-4050-B189-58E4ED0F87C7}" name="ItemGroup" dataDxfId="18"/>
    <tableColumn id="5" xr3:uid="{247E8DE5-E0DF-469D-A836-84FD422010C7}" name="ItemDescription" dataDxfId="17"/>
    <tableColumn id="6" xr3:uid="{2E8788BA-732A-4E72-9EE9-5D65133C5F22}" name="MoreInfo" dataDxfId="16"/>
    <tableColumn id="7" xr3:uid="{D4EA98A1-046E-47DB-896E-2A2B160F54D3}" name="Qty" dataDxfId="15"/>
    <tableColumn id="9" xr3:uid="{28EF866B-9FBE-49BB-A1D6-8CF528C1FE64}" name="UnitPrice" dataDxfId="14" dataCellStyle="Currency"/>
    <tableColumn id="10" xr3:uid="{3413C0D5-38C3-4976-BACF-FC6CC2B8A84C}" name="PriceExt" dataDxfId="13" dataCellStyle="Currency">
      <calculatedColumnFormula>IF(tblQuotes[[#This Row],[Qty]]="",1,tblQuotes[[#This Row],[Qty]])*tblQuotes[[#This Row],[UnitPrice]]</calculatedColumnFormula>
    </tableColumn>
    <tableColumn id="13" xr3:uid="{2ABF48F8-7350-46AC-9517-52B591472FFF}" name="Vendor" dataDxfId="12" dataCellStyle="Currency"/>
    <tableColumn id="8" xr3:uid="{677C406A-CA65-4422-9F0D-1EA763C95331}" name="UnitCost" dataDxfId="11" dataCellStyle="Currency"/>
    <tableColumn id="19" xr3:uid="{10097B98-DF37-4308-AE79-2AB76B6017B2}" name="CostExt" dataDxfId="10" dataCellStyle="Currency">
      <calculatedColumnFormula>IF(tblQuotes[[#This Row],[Qty]]="",1,tblQuotes[[#This Row],[Qty]])*tblQuotes[[#This Row],[UnitCost]]</calculatedColumnFormula>
    </tableColumn>
    <tableColumn id="11" xr3:uid="{B3D55D68-29A5-4351-BB86-03B458BE6054}" name="ItemCode" dataDxfId="9"/>
    <tableColumn id="12" xr3:uid="{C7A76E8E-BD6B-4DA8-B534-641285468C5D}" name="Shipping" dataDxfId="8" dataCellStyle="Currency"/>
    <tableColumn id="18" xr3:uid="{21D13A37-87B9-42D9-B43E-8094118A18D0}" name="Profit" dataDxfId="7">
      <calculatedColumnFormula>tblQuotes[[#This Row],[PriceExt]]-tblQuotes[[#This Row],[CostExt]]+tblQuotes[[#This Row],[Shipping]]</calculatedColumnFormula>
    </tableColumn>
    <tableColumn id="14" xr3:uid="{F6C7503F-394F-490F-A91D-9D28B44818D5}" name="Status" dataDxfId="6"/>
    <tableColumn id="21" xr3:uid="{430F7665-1904-4892-B251-6A44676E4A7E}" name="QuoteTtl" dataDxfId="5" dataCellStyle="Currency">
      <calculatedColumnFormula>SUMIF(tblQuotes[QuoteNo],tblQuotes[[#This Row],[QuoteNo]],tblQuotes[PriceExt])</calculatedColumnFormula>
    </tableColumn>
    <tableColumn id="22" xr3:uid="{B68659C2-3032-496A-8A27-78365EB7CF9D}" name="QuoteCost" dataDxfId="4" dataCellStyle="Currency">
      <calculatedColumnFormula>SUMIF(tblQuotes[QuoteNo],tblQuotes[[#This Row],[QuoteNo]],tblQuotes[CostExt])</calculatedColumnFormula>
    </tableColumn>
    <tableColumn id="20" xr3:uid="{27C90185-DE65-4616-B974-15A609545D83}" name="QuoteProfit" dataDxfId="3" dataCellStyle="Currency">
      <calculatedColumnFormula>SUMIF(tblQuotes[QuoteNo],tblQuotes[[#This Row],[QuoteNo]],tblQuotes[Profit])</calculatedColumnFormula>
    </tableColumn>
    <tableColumn id="17" xr3:uid="{41F31910-8BB7-4B73-B899-275428BA827C}" name="QuoteCurrency" dataDxfId="2" dataCellStyle="Currency"/>
    <tableColumn id="25" xr3:uid="{F44267B7-62F0-40F5-B5F1-151C844690B2}" name="QuoteNote" dataDxfId="1" dataCellStyle="Currency"/>
    <tableColumn id="24" xr3:uid="{1B16F5BE-931C-46FD-8AA3-9EBC03F0496C}" name="InternalNote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80BCE9-13D7-4437-A73B-2BB30FEE8669}" name="tblCurrency" displayName="tblCurrency" ref="B31:E34" totalsRowShown="0">
  <autoFilter ref="B31:E34" xr:uid="{0B80BCE9-13D7-4437-A73B-2BB30FEE8669}"/>
  <tableColumns count="4">
    <tableColumn id="1" xr3:uid="{9CC0375B-290B-4ED6-921B-09C68B4F1EDB}" name="Code"/>
    <tableColumn id="2" xr3:uid="{FA3CD745-C603-42BD-953A-4B5C8F73DD67}" name="Symbol"/>
    <tableColumn id="3" xr3:uid="{C4906281-5668-4B41-91EE-01E239B877B9}" name="Thousands"/>
    <tableColumn id="4" xr3:uid="{4101674A-5A6C-45D6-915B-A8F3363D532F}" name="Decimal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C772A-5C73-41EF-9B3A-07D60F10E888}">
  <sheetPr codeName="Sheet1"/>
  <dimension ref="B1:Z12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defaultColWidth="8.81640625" defaultRowHeight="14.5" x14ac:dyDescent="0.35"/>
  <cols>
    <col min="1" max="1" width="7.453125" customWidth="1"/>
    <col min="2" max="2" width="14" customWidth="1"/>
    <col min="3" max="3" width="15" customWidth="1"/>
    <col min="4" max="4" width="10.453125" customWidth="1"/>
    <col min="5" max="5" width="15.7265625" bestFit="1" customWidth="1"/>
    <col min="6" max="6" width="12.81640625" customWidth="1"/>
    <col min="8" max="8" width="26.81640625" bestFit="1" customWidth="1"/>
    <col min="9" max="9" width="58.453125" customWidth="1"/>
    <col min="10" max="10" width="11" customWidth="1"/>
    <col min="12" max="12" width="17.26953125" customWidth="1"/>
    <col min="13" max="13" width="20" customWidth="1"/>
    <col min="14" max="14" width="9.81640625" customWidth="1"/>
    <col min="15" max="15" width="11.26953125" bestFit="1" customWidth="1"/>
    <col min="16" max="16" width="13" bestFit="1" customWidth="1"/>
    <col min="17" max="17" width="4.7265625" customWidth="1"/>
    <col min="18" max="18" width="13.81640625" customWidth="1"/>
    <col min="19" max="19" width="11.453125" bestFit="1" customWidth="1"/>
    <col min="21" max="22" width="12" bestFit="1" customWidth="1"/>
    <col min="23" max="24" width="13.7265625" customWidth="1"/>
    <col min="25" max="25" width="17" bestFit="1" customWidth="1"/>
    <col min="26" max="26" width="54.453125" customWidth="1"/>
  </cols>
  <sheetData>
    <row r="1" spans="2:26" x14ac:dyDescent="0.35">
      <c r="D1" s="35" t="str">
        <f>Info!B2 &amp; " v" &amp;varVersion</f>
        <v>Simple Quote for Excel v2.8</v>
      </c>
      <c r="T1" t="s">
        <v>0</v>
      </c>
    </row>
    <row r="2" spans="2:26" x14ac:dyDescent="0.35">
      <c r="C2" s="31"/>
      <c r="D2" s="8" t="s">
        <v>1</v>
      </c>
      <c r="T2" t="s">
        <v>2</v>
      </c>
    </row>
    <row r="3" spans="2:26" x14ac:dyDescent="0.35">
      <c r="D3" s="8" t="s">
        <v>3</v>
      </c>
      <c r="T3" t="s">
        <v>4</v>
      </c>
    </row>
    <row r="4" spans="2:26" x14ac:dyDescent="0.35">
      <c r="M4" t="s">
        <v>5</v>
      </c>
      <c r="T4" t="s">
        <v>6</v>
      </c>
    </row>
    <row r="5" spans="2:26" x14ac:dyDescent="0.35">
      <c r="B5" s="13" t="s">
        <v>7</v>
      </c>
      <c r="C5" s="13"/>
      <c r="D5" s="13"/>
      <c r="E5" s="13"/>
      <c r="F5" s="13"/>
      <c r="G5" s="14" t="s">
        <v>8</v>
      </c>
      <c r="H5" s="14"/>
      <c r="I5" s="14"/>
      <c r="J5" s="14"/>
      <c r="K5" s="14"/>
      <c r="L5" s="14"/>
      <c r="M5" s="28"/>
      <c r="N5" s="21"/>
      <c r="O5" s="21"/>
      <c r="P5" s="28"/>
      <c r="Q5" s="21"/>
      <c r="R5" s="21"/>
      <c r="S5" s="28"/>
      <c r="T5" s="21"/>
      <c r="U5" s="28"/>
      <c r="V5" s="28"/>
      <c r="W5" s="28"/>
      <c r="X5" s="28"/>
      <c r="Y5" s="28"/>
      <c r="Z5" s="28"/>
    </row>
    <row r="6" spans="2:26" x14ac:dyDescent="0.35">
      <c r="B6" s="6" t="s">
        <v>9</v>
      </c>
      <c r="D6" t="s">
        <v>10</v>
      </c>
      <c r="H6" t="s">
        <v>11</v>
      </c>
      <c r="J6" t="s">
        <v>12</v>
      </c>
      <c r="M6" t="s">
        <v>13</v>
      </c>
      <c r="P6" t="s">
        <v>13</v>
      </c>
      <c r="Q6" t="s">
        <v>14</v>
      </c>
      <c r="T6" t="s">
        <v>15</v>
      </c>
    </row>
    <row r="7" spans="2:26" x14ac:dyDescent="0.35">
      <c r="C7" t="s">
        <v>16</v>
      </c>
      <c r="E7" t="s">
        <v>17</v>
      </c>
      <c r="G7" t="s">
        <v>18</v>
      </c>
      <c r="L7" t="s">
        <v>19</v>
      </c>
      <c r="N7" t="s">
        <v>20</v>
      </c>
      <c r="O7" t="s">
        <v>21</v>
      </c>
      <c r="Q7" t="s">
        <v>22</v>
      </c>
      <c r="R7" t="s">
        <v>23</v>
      </c>
    </row>
    <row r="8" spans="2:26" x14ac:dyDescent="0.35">
      <c r="B8" t="s">
        <v>24</v>
      </c>
      <c r="C8" t="s">
        <v>25</v>
      </c>
      <c r="D8" t="s">
        <v>26</v>
      </c>
      <c r="E8" t="s">
        <v>27</v>
      </c>
      <c r="F8" t="s">
        <v>28</v>
      </c>
      <c r="G8" t="s">
        <v>29</v>
      </c>
      <c r="H8" t="s">
        <v>30</v>
      </c>
      <c r="I8" t="s">
        <v>31</v>
      </c>
      <c r="J8" t="s">
        <v>32</v>
      </c>
      <c r="K8" t="s">
        <v>33</v>
      </c>
      <c r="L8" t="s">
        <v>34</v>
      </c>
      <c r="M8" t="s">
        <v>35</v>
      </c>
      <c r="N8" s="8" t="s">
        <v>36</v>
      </c>
      <c r="O8" s="8" t="s">
        <v>37</v>
      </c>
      <c r="P8" s="8" t="s">
        <v>38</v>
      </c>
      <c r="Q8" s="8" t="s">
        <v>39</v>
      </c>
      <c r="R8" s="8" t="s">
        <v>40</v>
      </c>
      <c r="S8" s="8" t="s">
        <v>41</v>
      </c>
      <c r="T8" s="8" t="s">
        <v>42</v>
      </c>
      <c r="U8" s="8" t="s">
        <v>43</v>
      </c>
      <c r="V8" s="8" t="s">
        <v>44</v>
      </c>
      <c r="W8" s="8" t="s">
        <v>45</v>
      </c>
      <c r="X8" s="8" t="s">
        <v>46</v>
      </c>
      <c r="Y8" s="8" t="s">
        <v>47</v>
      </c>
      <c r="Z8" s="8" t="s">
        <v>48</v>
      </c>
    </row>
    <row r="9" spans="2:26" x14ac:dyDescent="0.35">
      <c r="B9" s="25">
        <v>1000</v>
      </c>
      <c r="C9" s="25" t="s">
        <v>49</v>
      </c>
      <c r="D9" s="25" t="s">
        <v>50</v>
      </c>
      <c r="E9" s="25" t="s">
        <v>51</v>
      </c>
      <c r="F9" s="26">
        <v>45113</v>
      </c>
      <c r="G9" s="19">
        <v>1</v>
      </c>
      <c r="H9" s="19" t="s">
        <v>52</v>
      </c>
      <c r="I9" s="18" t="s">
        <v>53</v>
      </c>
      <c r="J9" s="19"/>
      <c r="K9" s="19">
        <v>1</v>
      </c>
      <c r="L9" s="20">
        <v>100</v>
      </c>
      <c r="M9" s="44">
        <f>IF(tblQuotes[[#This Row],[Qty]]="",1,tblQuotes[[#This Row],[Qty]])*tblQuotes[[#This Row],[UnitPrice]]</f>
        <v>100</v>
      </c>
      <c r="N9" s="24"/>
      <c r="O9" s="33">
        <v>0</v>
      </c>
      <c r="P9" s="34">
        <f>IF(tblQuotes[[#This Row],[Qty]]="",1,tblQuotes[[#This Row],[Qty]])*tblQuotes[[#This Row],[UnitCost]]</f>
        <v>0</v>
      </c>
      <c r="Q9" s="22"/>
      <c r="R9" s="33">
        <v>0</v>
      </c>
      <c r="S9" s="27">
        <f>tblQuotes[[#This Row],[PriceExt]]-tblQuotes[[#This Row],[CostExt]]+tblQuotes[[#This Row],[Shipping]]</f>
        <v>100</v>
      </c>
      <c r="T9" s="22"/>
      <c r="U9" s="34">
        <f>SUMIF(tblQuotes[QuoteNo],tblQuotes[[#This Row],[QuoteNo]],tblQuotes[PriceExt])</f>
        <v>400</v>
      </c>
      <c r="V9" s="34">
        <f>SUMIF(tblQuotes[QuoteNo],tblQuotes[[#This Row],[QuoteNo]],tblQuotes[CostExt])</f>
        <v>0</v>
      </c>
      <c r="W9" s="34">
        <f>SUMIF(tblQuotes[QuoteNo],tblQuotes[[#This Row],[QuoteNo]],tblQuotes[Profit])</f>
        <v>400</v>
      </c>
      <c r="X9" s="34"/>
      <c r="Y9" s="30"/>
      <c r="Z9" s="19"/>
    </row>
    <row r="10" spans="2:26" x14ac:dyDescent="0.35">
      <c r="B10" s="25">
        <v>1000</v>
      </c>
      <c r="C10" s="25" t="s">
        <v>49</v>
      </c>
      <c r="D10" s="25" t="s">
        <v>50</v>
      </c>
      <c r="E10" s="25" t="s">
        <v>51</v>
      </c>
      <c r="F10" s="26">
        <v>45113</v>
      </c>
      <c r="G10" s="19">
        <v>2</v>
      </c>
      <c r="H10" s="19" t="s">
        <v>52</v>
      </c>
      <c r="I10" s="18" t="s">
        <v>54</v>
      </c>
      <c r="J10" s="19"/>
      <c r="K10" s="19">
        <v>1</v>
      </c>
      <c r="L10" s="20">
        <v>100</v>
      </c>
      <c r="M10" s="44">
        <f>IF(tblQuotes[[#This Row],[Qty]]="",1,tblQuotes[[#This Row],[Qty]])*tblQuotes[[#This Row],[UnitPrice]]</f>
        <v>100</v>
      </c>
      <c r="N10" s="24"/>
      <c r="O10" s="33">
        <v>0</v>
      </c>
      <c r="P10" s="34">
        <f>IF(tblQuotes[[#This Row],[Qty]]="",1,tblQuotes[[#This Row],[Qty]])*tblQuotes[[#This Row],[UnitCost]]</f>
        <v>0</v>
      </c>
      <c r="Q10" s="22"/>
      <c r="R10" s="33">
        <v>0</v>
      </c>
      <c r="S10" s="27">
        <f>tblQuotes[[#This Row],[PriceExt]]-tblQuotes[[#This Row],[CostExt]]+tblQuotes[[#This Row],[Shipping]]</f>
        <v>100</v>
      </c>
      <c r="T10" s="22"/>
      <c r="U10" s="34">
        <f>SUMIF(tblQuotes[QuoteNo],tblQuotes[[#This Row],[QuoteNo]],tblQuotes[PriceExt])</f>
        <v>400</v>
      </c>
      <c r="V10" s="34">
        <f>SUMIF(tblQuotes[QuoteNo],tblQuotes[[#This Row],[QuoteNo]],tblQuotes[CostExt])</f>
        <v>0</v>
      </c>
      <c r="W10" s="34">
        <f>SUMIF(tblQuotes[QuoteNo],tblQuotes[[#This Row],[QuoteNo]],tblQuotes[Profit])</f>
        <v>400</v>
      </c>
      <c r="X10" s="34"/>
      <c r="Y10" s="30"/>
      <c r="Z10" s="19"/>
    </row>
    <row r="11" spans="2:26" x14ac:dyDescent="0.35">
      <c r="B11" s="25">
        <v>1000</v>
      </c>
      <c r="C11" s="25" t="s">
        <v>49</v>
      </c>
      <c r="D11" s="25" t="s">
        <v>50</v>
      </c>
      <c r="E11" s="25" t="s">
        <v>51</v>
      </c>
      <c r="F11" s="26">
        <v>45113</v>
      </c>
      <c r="G11" s="19">
        <v>3</v>
      </c>
      <c r="H11" s="19" t="s">
        <v>55</v>
      </c>
      <c r="I11" s="18" t="s">
        <v>56</v>
      </c>
      <c r="J11" s="19"/>
      <c r="K11" s="19">
        <v>1</v>
      </c>
      <c r="L11" s="20">
        <v>100</v>
      </c>
      <c r="M11" s="44">
        <f>IF(tblQuotes[[#This Row],[Qty]]="",1,tblQuotes[[#This Row],[Qty]])*tblQuotes[[#This Row],[UnitPrice]]</f>
        <v>100</v>
      </c>
      <c r="N11" s="24"/>
      <c r="O11" s="33">
        <v>0</v>
      </c>
      <c r="P11" s="34">
        <f>IF(tblQuotes[[#This Row],[Qty]]="",1,tblQuotes[[#This Row],[Qty]])*tblQuotes[[#This Row],[UnitCost]]</f>
        <v>0</v>
      </c>
      <c r="Q11" s="22"/>
      <c r="R11" s="33">
        <v>0</v>
      </c>
      <c r="S11" s="27">
        <f>tblQuotes[[#This Row],[PriceExt]]-tblQuotes[[#This Row],[CostExt]]+tblQuotes[[#This Row],[Shipping]]</f>
        <v>100</v>
      </c>
      <c r="T11" s="22"/>
      <c r="U11" s="34">
        <f>SUMIF(tblQuotes[QuoteNo],tblQuotes[[#This Row],[QuoteNo]],tblQuotes[PriceExt])</f>
        <v>400</v>
      </c>
      <c r="V11" s="34">
        <f>SUMIF(tblQuotes[QuoteNo],tblQuotes[[#This Row],[QuoteNo]],tblQuotes[CostExt])</f>
        <v>0</v>
      </c>
      <c r="W11" s="34">
        <f>SUMIF(tblQuotes[QuoteNo],tblQuotes[[#This Row],[QuoteNo]],tblQuotes[Profit])</f>
        <v>400</v>
      </c>
      <c r="X11" s="34"/>
      <c r="Y11" s="30"/>
      <c r="Z11" s="19"/>
    </row>
    <row r="12" spans="2:26" x14ac:dyDescent="0.35">
      <c r="B12" s="25">
        <v>1000</v>
      </c>
      <c r="C12" s="25" t="s">
        <v>49</v>
      </c>
      <c r="D12" s="25" t="s">
        <v>50</v>
      </c>
      <c r="E12" s="25" t="s">
        <v>51</v>
      </c>
      <c r="F12" s="26">
        <v>45113</v>
      </c>
      <c r="G12" s="19">
        <v>4</v>
      </c>
      <c r="H12" s="19" t="s">
        <v>55</v>
      </c>
      <c r="I12" s="18" t="s">
        <v>57</v>
      </c>
      <c r="J12" s="19"/>
      <c r="K12" s="19">
        <v>1</v>
      </c>
      <c r="L12" s="20">
        <v>100</v>
      </c>
      <c r="M12" s="44">
        <f>IF(tblQuotes[[#This Row],[Qty]]="",1,tblQuotes[[#This Row],[Qty]])*tblQuotes[[#This Row],[UnitPrice]]</f>
        <v>100</v>
      </c>
      <c r="N12" s="24"/>
      <c r="O12" s="33">
        <v>0</v>
      </c>
      <c r="P12" s="34">
        <f>IF(tblQuotes[[#This Row],[Qty]]="",1,tblQuotes[[#This Row],[Qty]])*tblQuotes[[#This Row],[UnitCost]]</f>
        <v>0</v>
      </c>
      <c r="Q12" s="22"/>
      <c r="R12" s="33">
        <v>0</v>
      </c>
      <c r="S12" s="27">
        <f>tblQuotes[[#This Row],[PriceExt]]-tblQuotes[[#This Row],[CostExt]]+tblQuotes[[#This Row],[Shipping]]</f>
        <v>100</v>
      </c>
      <c r="T12" s="22"/>
      <c r="U12" s="34">
        <f>SUMIF(tblQuotes[QuoteNo],tblQuotes[[#This Row],[QuoteNo]],tblQuotes[PriceExt])</f>
        <v>400</v>
      </c>
      <c r="V12" s="34">
        <f>SUMIF(tblQuotes[QuoteNo],tblQuotes[[#This Row],[QuoteNo]],tblQuotes[CostExt])</f>
        <v>0</v>
      </c>
      <c r="W12" s="34">
        <f>SUMIF(tblQuotes[QuoteNo],tblQuotes[[#This Row],[QuoteNo]],tblQuotes[Profit])</f>
        <v>400</v>
      </c>
      <c r="X12" s="34"/>
      <c r="Y12" s="30"/>
      <c r="Z12" s="19"/>
    </row>
  </sheetData>
  <phoneticPr fontId="6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2:K69"/>
  <sheetViews>
    <sheetView workbookViewId="0">
      <selection activeCell="B3" sqref="B3"/>
    </sheetView>
  </sheetViews>
  <sheetFormatPr defaultColWidth="8.81640625" defaultRowHeight="14.5" x14ac:dyDescent="0.35"/>
  <cols>
    <col min="1" max="1" width="11.26953125" customWidth="1"/>
    <col min="2" max="2" width="19.453125" customWidth="1"/>
    <col min="3" max="3" width="3.7265625" customWidth="1"/>
    <col min="4" max="4" width="4" style="1" customWidth="1"/>
    <col min="5" max="5" width="44.7265625" customWidth="1"/>
    <col min="6" max="6" width="9.453125" bestFit="1" customWidth="1"/>
    <col min="7" max="7" width="9.453125" customWidth="1"/>
    <col min="8" max="8" width="14.453125" customWidth="1"/>
    <col min="9" max="9" width="3.453125" customWidth="1"/>
    <col min="10" max="10" width="14.453125" customWidth="1"/>
    <col min="11" max="11" width="10.1796875" customWidth="1"/>
  </cols>
  <sheetData>
    <row r="2" spans="1:11" ht="21" x14ac:dyDescent="0.5">
      <c r="B2" s="15" t="s">
        <v>61</v>
      </c>
      <c r="E2" t="s">
        <v>62</v>
      </c>
    </row>
    <row r="3" spans="1:11" ht="28.5" x14ac:dyDescent="0.35">
      <c r="B3" s="41">
        <v>1000</v>
      </c>
      <c r="C3" s="9"/>
      <c r="E3" s="8" t="s">
        <v>132</v>
      </c>
    </row>
    <row r="4" spans="1:11" x14ac:dyDescent="0.35">
      <c r="B4" s="8"/>
    </row>
    <row r="5" spans="1:11" x14ac:dyDescent="0.35">
      <c r="B5" s="29"/>
      <c r="D5" s="1">
        <v>-1</v>
      </c>
      <c r="E5" s="29">
        <v>0</v>
      </c>
      <c r="F5" s="29">
        <v>1</v>
      </c>
      <c r="G5" s="29">
        <v>2</v>
      </c>
      <c r="H5" s="29">
        <v>3</v>
      </c>
      <c r="I5" s="29">
        <v>4</v>
      </c>
      <c r="J5" s="29">
        <v>5</v>
      </c>
    </row>
    <row r="6" spans="1:11" x14ac:dyDescent="0.35">
      <c r="E6" s="12"/>
      <c r="F6" s="12"/>
      <c r="G6" s="12"/>
      <c r="H6" s="12"/>
      <c r="I6" s="12"/>
      <c r="J6" s="12"/>
    </row>
    <row r="7" spans="1:11" x14ac:dyDescent="0.35">
      <c r="F7" s="1"/>
    </row>
    <row r="8" spans="1:11" ht="21" x14ac:dyDescent="0.5">
      <c r="C8" s="23"/>
      <c r="D8" s="1">
        <v>0</v>
      </c>
      <c r="E8" s="2" t="s">
        <v>51</v>
      </c>
      <c r="F8" s="3"/>
      <c r="J8" s="17"/>
    </row>
    <row r="9" spans="1:11" x14ac:dyDescent="0.35">
      <c r="A9" s="9"/>
      <c r="C9" s="23"/>
      <c r="D9" s="1">
        <v>1</v>
      </c>
      <c r="E9" t="s">
        <v>127</v>
      </c>
      <c r="F9" s="1"/>
      <c r="J9" s="16" t="s">
        <v>133</v>
      </c>
    </row>
    <row r="10" spans="1:11" x14ac:dyDescent="0.35">
      <c r="C10" s="23"/>
      <c r="D10" s="1">
        <v>2</v>
      </c>
      <c r="E10" t="s">
        <v>128</v>
      </c>
      <c r="F10" s="5"/>
      <c r="J10" s="16" t="s">
        <v>134</v>
      </c>
      <c r="K10" s="4"/>
    </row>
    <row r="11" spans="1:11" x14ac:dyDescent="0.35">
      <c r="B11" s="8" t="s">
        <v>63</v>
      </c>
      <c r="C11" s="23"/>
      <c r="D11" s="1">
        <v>3</v>
      </c>
      <c r="E11" s="6" t="s">
        <v>129</v>
      </c>
      <c r="F11" s="7"/>
      <c r="J11" s="16" t="s">
        <v>135</v>
      </c>
    </row>
    <row r="12" spans="1:11" x14ac:dyDescent="0.35">
      <c r="B12" s="8" t="s">
        <v>47</v>
      </c>
      <c r="C12" s="23"/>
      <c r="D12" s="1">
        <v>4</v>
      </c>
      <c r="E12" s="8"/>
      <c r="F12" s="7"/>
    </row>
    <row r="13" spans="1:11" x14ac:dyDescent="0.35">
      <c r="C13" s="23"/>
      <c r="E13" s="8" t="s">
        <v>64</v>
      </c>
      <c r="F13" s="7"/>
    </row>
    <row r="14" spans="1:11" x14ac:dyDescent="0.35">
      <c r="B14" s="8" t="s">
        <v>65</v>
      </c>
      <c r="C14" s="23"/>
      <c r="F14" s="7"/>
      <c r="H14" s="36" t="s">
        <v>66</v>
      </c>
      <c r="I14" s="36"/>
      <c r="J14" s="45">
        <f>SUM(J17:J23)</f>
        <v>400</v>
      </c>
    </row>
    <row r="15" spans="1:11" x14ac:dyDescent="0.35">
      <c r="C15" s="23"/>
      <c r="H15" s="37"/>
      <c r="I15" s="37"/>
      <c r="J15" s="37"/>
    </row>
    <row r="16" spans="1:11" x14ac:dyDescent="0.35">
      <c r="C16" s="23"/>
      <c r="E16" s="10" t="s">
        <v>67</v>
      </c>
      <c r="F16" s="10" t="s">
        <v>68</v>
      </c>
      <c r="G16" s="11" t="s">
        <v>33</v>
      </c>
      <c r="H16" s="38" t="s">
        <v>69</v>
      </c>
      <c r="I16" s="39"/>
      <c r="J16" s="38" t="s">
        <v>70</v>
      </c>
    </row>
    <row r="17" spans="2:10" x14ac:dyDescent="0.35">
      <c r="B17" s="8" t="s">
        <v>71</v>
      </c>
      <c r="C17" s="12"/>
      <c r="E17" s="1"/>
      <c r="F17" s="1"/>
      <c r="G17" s="16"/>
      <c r="H17" s="40"/>
      <c r="I17" s="40"/>
      <c r="J17" s="40"/>
    </row>
    <row r="18" spans="2:10" ht="29" customHeight="1" x14ac:dyDescent="0.35">
      <c r="C18" s="12"/>
      <c r="D18" s="9">
        <v>1</v>
      </c>
      <c r="E18" s="6" t="s">
        <v>130</v>
      </c>
    </row>
    <row r="19" spans="2:10" x14ac:dyDescent="0.35">
      <c r="C19" s="12"/>
      <c r="D19" s="1">
        <v>2</v>
      </c>
      <c r="E19" s="46" t="s">
        <v>53</v>
      </c>
      <c r="F19" s="18"/>
      <c r="G19" s="19">
        <v>1</v>
      </c>
      <c r="H19" s="43">
        <v>100</v>
      </c>
      <c r="I19" s="19"/>
      <c r="J19" s="43">
        <v>100</v>
      </c>
    </row>
    <row r="20" spans="2:10" x14ac:dyDescent="0.35">
      <c r="C20" s="12"/>
      <c r="D20" s="1">
        <v>3</v>
      </c>
      <c r="E20" s="46" t="s">
        <v>54</v>
      </c>
      <c r="F20" s="18"/>
      <c r="G20" s="19">
        <v>1</v>
      </c>
      <c r="H20" s="43">
        <v>100</v>
      </c>
      <c r="I20" s="19"/>
      <c r="J20" s="43">
        <v>100</v>
      </c>
    </row>
    <row r="21" spans="2:10" ht="29" customHeight="1" x14ac:dyDescent="0.35">
      <c r="C21" s="12"/>
      <c r="D21" s="9">
        <v>4</v>
      </c>
      <c r="E21" s="6" t="s">
        <v>131</v>
      </c>
    </row>
    <row r="22" spans="2:10" x14ac:dyDescent="0.35">
      <c r="C22" s="12"/>
      <c r="D22" s="1">
        <v>5</v>
      </c>
      <c r="E22" s="46" t="s">
        <v>56</v>
      </c>
      <c r="F22" s="18"/>
      <c r="G22" s="19">
        <v>1</v>
      </c>
      <c r="H22" s="43">
        <v>100</v>
      </c>
      <c r="I22" s="19"/>
      <c r="J22" s="43">
        <v>100</v>
      </c>
    </row>
    <row r="23" spans="2:10" x14ac:dyDescent="0.35">
      <c r="C23" s="12"/>
      <c r="D23" s="1">
        <v>6</v>
      </c>
      <c r="E23" s="46" t="s">
        <v>57</v>
      </c>
      <c r="F23" s="18"/>
      <c r="G23" s="19">
        <v>1</v>
      </c>
      <c r="H23" s="43">
        <v>100</v>
      </c>
      <c r="I23" s="19"/>
      <c r="J23" s="43">
        <v>100</v>
      </c>
    </row>
    <row r="24" spans="2:10" x14ac:dyDescent="0.35">
      <c r="C24" s="12"/>
      <c r="D24"/>
    </row>
    <row r="25" spans="2:10" x14ac:dyDescent="0.35">
      <c r="C25" s="12"/>
      <c r="D25"/>
    </row>
    <row r="26" spans="2:10" ht="30" customHeight="1" x14ac:dyDescent="0.35">
      <c r="C26" s="12"/>
      <c r="D26"/>
    </row>
    <row r="27" spans="2:10" x14ac:dyDescent="0.35">
      <c r="C27" s="12"/>
      <c r="D27"/>
    </row>
    <row r="28" spans="2:10" ht="30" customHeight="1" x14ac:dyDescent="0.35">
      <c r="C28" s="12"/>
      <c r="D28"/>
    </row>
    <row r="29" spans="2:10" x14ac:dyDescent="0.35">
      <c r="C29" s="12"/>
      <c r="D29"/>
    </row>
    <row r="30" spans="2:10" ht="30" customHeight="1" x14ac:dyDescent="0.35">
      <c r="C30" s="12"/>
      <c r="D30"/>
    </row>
    <row r="31" spans="2:10" x14ac:dyDescent="0.35">
      <c r="C31" s="12"/>
      <c r="D31"/>
    </row>
    <row r="32" spans="2:10" x14ac:dyDescent="0.35">
      <c r="C32" s="12"/>
      <c r="D32"/>
    </row>
    <row r="33" spans="3:4" x14ac:dyDescent="0.35">
      <c r="C33" s="12"/>
      <c r="D33"/>
    </row>
    <row r="34" spans="3:4" x14ac:dyDescent="0.35">
      <c r="C34" s="12"/>
      <c r="D34"/>
    </row>
    <row r="35" spans="3:4" x14ac:dyDescent="0.35">
      <c r="C35" s="12"/>
      <c r="D35"/>
    </row>
    <row r="36" spans="3:4" x14ac:dyDescent="0.35">
      <c r="C36" s="12"/>
      <c r="D36"/>
    </row>
    <row r="37" spans="3:4" x14ac:dyDescent="0.35">
      <c r="C37" s="12"/>
      <c r="D37"/>
    </row>
    <row r="38" spans="3:4" x14ac:dyDescent="0.35">
      <c r="C38" s="12"/>
      <c r="D38"/>
    </row>
    <row r="39" spans="3:4" x14ac:dyDescent="0.35">
      <c r="C39" s="12"/>
      <c r="D39"/>
    </row>
    <row r="40" spans="3:4" x14ac:dyDescent="0.35">
      <c r="C40" s="12"/>
      <c r="D40"/>
    </row>
    <row r="41" spans="3:4" x14ac:dyDescent="0.35">
      <c r="C41" s="12"/>
      <c r="D41"/>
    </row>
    <row r="42" spans="3:4" x14ac:dyDescent="0.35">
      <c r="C42" s="12"/>
      <c r="D42"/>
    </row>
    <row r="43" spans="3:4" x14ac:dyDescent="0.35">
      <c r="C43" s="12"/>
      <c r="D43"/>
    </row>
    <row r="44" spans="3:4" x14ac:dyDescent="0.35">
      <c r="C44" s="12"/>
      <c r="D44"/>
    </row>
    <row r="45" spans="3:4" x14ac:dyDescent="0.35">
      <c r="C45" s="12"/>
      <c r="D45"/>
    </row>
    <row r="46" spans="3:4" x14ac:dyDescent="0.35">
      <c r="C46" s="12"/>
      <c r="D46"/>
    </row>
    <row r="47" spans="3:4" x14ac:dyDescent="0.35">
      <c r="C47" s="12"/>
      <c r="D47"/>
    </row>
    <row r="48" spans="3:4" x14ac:dyDescent="0.35">
      <c r="C48" s="12"/>
      <c r="D48"/>
    </row>
    <row r="49" spans="3:4" x14ac:dyDescent="0.35">
      <c r="C49" s="12"/>
      <c r="D49"/>
    </row>
    <row r="50" spans="3:4" x14ac:dyDescent="0.35">
      <c r="C50" s="12"/>
      <c r="D50"/>
    </row>
    <row r="51" spans="3:4" x14ac:dyDescent="0.35">
      <c r="C51" s="12"/>
      <c r="D51"/>
    </row>
    <row r="52" spans="3:4" x14ac:dyDescent="0.35">
      <c r="C52" s="12"/>
      <c r="D52"/>
    </row>
    <row r="53" spans="3:4" x14ac:dyDescent="0.35">
      <c r="C53" s="12"/>
      <c r="D53"/>
    </row>
    <row r="54" spans="3:4" x14ac:dyDescent="0.35">
      <c r="C54" s="12"/>
      <c r="D54"/>
    </row>
    <row r="55" spans="3:4" x14ac:dyDescent="0.35">
      <c r="D55"/>
    </row>
    <row r="56" spans="3:4" x14ac:dyDescent="0.35">
      <c r="D56"/>
    </row>
    <row r="57" spans="3:4" x14ac:dyDescent="0.35">
      <c r="D57"/>
    </row>
    <row r="58" spans="3:4" x14ac:dyDescent="0.35">
      <c r="D58"/>
    </row>
    <row r="59" spans="3:4" x14ac:dyDescent="0.35">
      <c r="D59"/>
    </row>
    <row r="60" spans="3:4" x14ac:dyDescent="0.35">
      <c r="D60"/>
    </row>
    <row r="61" spans="3:4" x14ac:dyDescent="0.35">
      <c r="D61"/>
    </row>
    <row r="62" spans="3:4" x14ac:dyDescent="0.35">
      <c r="D62"/>
    </row>
    <row r="63" spans="3:4" x14ac:dyDescent="0.35">
      <c r="D63"/>
    </row>
    <row r="64" spans="3:4" x14ac:dyDescent="0.35">
      <c r="D64"/>
    </row>
    <row r="65" spans="4:4" x14ac:dyDescent="0.35">
      <c r="D65"/>
    </row>
    <row r="66" spans="4:4" x14ac:dyDescent="0.35">
      <c r="D66"/>
    </row>
    <row r="67" spans="4:4" x14ac:dyDescent="0.35">
      <c r="D67"/>
    </row>
    <row r="68" spans="4:4" x14ac:dyDescent="0.35">
      <c r="D68"/>
    </row>
    <row r="69" spans="4:4" x14ac:dyDescent="0.35">
      <c r="D69"/>
    </row>
  </sheetData>
  <dataConsolidate/>
  <phoneticPr fontId="6" type="noConversion"/>
  <pageMargins left="0.7" right="0.7" top="0.75" bottom="0.75" header="0.3" footer="0.3"/>
  <pageSetup scale="94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4BC99-DA7C-408F-AC5A-B7C8899E9DF0}">
  <sheetPr codeName="Sheet3"/>
  <dimension ref="B2:H45"/>
  <sheetViews>
    <sheetView topLeftCell="A10" workbookViewId="0">
      <selection activeCell="C25" sqref="C25"/>
    </sheetView>
  </sheetViews>
  <sheetFormatPr defaultColWidth="8.81640625" defaultRowHeight="14.5" x14ac:dyDescent="0.35"/>
  <cols>
    <col min="2" max="2" width="24.7265625" customWidth="1"/>
    <col min="3" max="3" width="16.453125" customWidth="1"/>
    <col min="4" max="4" width="41.81640625" customWidth="1"/>
    <col min="5" max="5" width="9.81640625" customWidth="1"/>
  </cols>
  <sheetData>
    <row r="2" spans="2:8" ht="23.5" x14ac:dyDescent="0.55000000000000004">
      <c r="B2" s="42" t="s">
        <v>72</v>
      </c>
    </row>
    <row r="3" spans="2:8" x14ac:dyDescent="0.35">
      <c r="B3" t="str">
        <f>"v" &amp;varVersion</f>
        <v>v2.8</v>
      </c>
    </row>
    <row r="5" spans="2:8" x14ac:dyDescent="0.35">
      <c r="B5" s="6" t="s">
        <v>73</v>
      </c>
      <c r="H5" s="6"/>
    </row>
    <row r="6" spans="2:8" x14ac:dyDescent="0.35">
      <c r="B6" t="s">
        <v>74</v>
      </c>
    </row>
    <row r="7" spans="2:8" x14ac:dyDescent="0.35">
      <c r="B7" t="s">
        <v>75</v>
      </c>
    </row>
    <row r="8" spans="2:8" x14ac:dyDescent="0.35">
      <c r="B8" t="s">
        <v>76</v>
      </c>
    </row>
    <row r="10" spans="2:8" x14ac:dyDescent="0.35">
      <c r="B10" s="6" t="s">
        <v>77</v>
      </c>
    </row>
    <row r="11" spans="2:8" x14ac:dyDescent="0.35">
      <c r="B11" t="s">
        <v>78</v>
      </c>
    </row>
    <row r="12" spans="2:8" x14ac:dyDescent="0.35">
      <c r="B12" t="s">
        <v>79</v>
      </c>
    </row>
    <row r="13" spans="2:8" x14ac:dyDescent="0.35">
      <c r="B13" t="s">
        <v>80</v>
      </c>
    </row>
    <row r="14" spans="2:8" x14ac:dyDescent="0.35">
      <c r="B14" t="s">
        <v>81</v>
      </c>
    </row>
    <row r="15" spans="2:8" x14ac:dyDescent="0.35">
      <c r="B15" t="s">
        <v>82</v>
      </c>
    </row>
    <row r="17" spans="2:5" x14ac:dyDescent="0.35">
      <c r="B17" s="6" t="s">
        <v>83</v>
      </c>
    </row>
    <row r="18" spans="2:5" x14ac:dyDescent="0.35">
      <c r="B18" t="s">
        <v>84</v>
      </c>
    </row>
    <row r="19" spans="2:5" x14ac:dyDescent="0.35">
      <c r="B19" t="s">
        <v>85</v>
      </c>
    </row>
    <row r="21" spans="2:5" x14ac:dyDescent="0.35">
      <c r="B21" s="6" t="s">
        <v>86</v>
      </c>
      <c r="C21" t="s">
        <v>136</v>
      </c>
    </row>
    <row r="22" spans="2:5" x14ac:dyDescent="0.35">
      <c r="B22" t="s">
        <v>87</v>
      </c>
      <c r="C22" s="21">
        <v>1000</v>
      </c>
      <c r="D22" t="s">
        <v>88</v>
      </c>
    </row>
    <row r="23" spans="2:5" x14ac:dyDescent="0.35">
      <c r="B23" t="s">
        <v>89</v>
      </c>
      <c r="C23" s="8">
        <f>MAX(tblQuotes[QuoteNo],varQuoteBase-1)+1</f>
        <v>1001</v>
      </c>
      <c r="D23" t="s">
        <v>90</v>
      </c>
    </row>
    <row r="24" spans="2:5" x14ac:dyDescent="0.35">
      <c r="B24" t="s">
        <v>91</v>
      </c>
      <c r="C24" s="8" cm="1">
        <f t="array" ref="C24">SUMPRODUCT((tblQuotes[QuoteNo]&lt;&gt;"")/COUNTIF(tblQuotes[QuoteNo],tblQuotes[QuoteNo]&amp;""))</f>
        <v>1</v>
      </c>
      <c r="D24" t="s">
        <v>92</v>
      </c>
    </row>
    <row r="25" spans="2:5" x14ac:dyDescent="0.35">
      <c r="B25" t="s">
        <v>93</v>
      </c>
      <c r="C25" s="21"/>
      <c r="D25" t="s">
        <v>94</v>
      </c>
    </row>
    <row r="26" spans="2:5" x14ac:dyDescent="0.35">
      <c r="B26" t="s">
        <v>95</v>
      </c>
      <c r="C26" s="8">
        <v>0</v>
      </c>
      <c r="D26" t="s">
        <v>96</v>
      </c>
    </row>
    <row r="27" spans="2:5" x14ac:dyDescent="0.35">
      <c r="B27" t="s">
        <v>97</v>
      </c>
      <c r="C27" s="8">
        <v>2.8</v>
      </c>
      <c r="D27" t="s">
        <v>98</v>
      </c>
    </row>
    <row r="28" spans="2:5" x14ac:dyDescent="0.35">
      <c r="B28" t="s">
        <v>99</v>
      </c>
      <c r="C28" s="21"/>
      <c r="D28" t="s">
        <v>100</v>
      </c>
    </row>
    <row r="30" spans="2:5" x14ac:dyDescent="0.35">
      <c r="B30" t="s">
        <v>101</v>
      </c>
    </row>
    <row r="31" spans="2:5" x14ac:dyDescent="0.35">
      <c r="B31" t="s">
        <v>102</v>
      </c>
      <c r="C31" t="s">
        <v>103</v>
      </c>
      <c r="D31" t="s">
        <v>104</v>
      </c>
      <c r="E31" t="s">
        <v>105</v>
      </c>
    </row>
    <row r="32" spans="2:5" x14ac:dyDescent="0.35">
      <c r="B32" t="s">
        <v>58</v>
      </c>
      <c r="C32" t="s">
        <v>106</v>
      </c>
      <c r="D32" t="s">
        <v>107</v>
      </c>
      <c r="E32" t="s">
        <v>108</v>
      </c>
    </row>
    <row r="33" spans="2:5" x14ac:dyDescent="0.35">
      <c r="B33" t="s">
        <v>60</v>
      </c>
      <c r="C33" t="s">
        <v>109</v>
      </c>
      <c r="D33" t="s">
        <v>107</v>
      </c>
      <c r="E33" t="s">
        <v>108</v>
      </c>
    </row>
    <row r="34" spans="2:5" x14ac:dyDescent="0.35">
      <c r="B34" t="s">
        <v>59</v>
      </c>
      <c r="C34" t="s">
        <v>110</v>
      </c>
      <c r="D34" t="s">
        <v>108</v>
      </c>
      <c r="E34" t="s">
        <v>107</v>
      </c>
    </row>
    <row r="37" spans="2:5" x14ac:dyDescent="0.35">
      <c r="B37" s="6" t="s">
        <v>111</v>
      </c>
    </row>
    <row r="38" spans="2:5" x14ac:dyDescent="0.35">
      <c r="B38" s="8" t="s">
        <v>112</v>
      </c>
      <c r="C38" s="8" t="s">
        <v>113</v>
      </c>
      <c r="D38" s="8" t="s">
        <v>114</v>
      </c>
    </row>
    <row r="39" spans="2:5" x14ac:dyDescent="0.35">
      <c r="B39" t="s">
        <v>125</v>
      </c>
      <c r="C39" s="32">
        <v>45610</v>
      </c>
      <c r="D39" t="s">
        <v>126</v>
      </c>
    </row>
    <row r="40" spans="2:5" x14ac:dyDescent="0.35">
      <c r="B40" t="s">
        <v>115</v>
      </c>
      <c r="C40" s="32">
        <v>45554</v>
      </c>
      <c r="D40" t="s">
        <v>116</v>
      </c>
    </row>
    <row r="41" spans="2:5" x14ac:dyDescent="0.35">
      <c r="B41" t="s">
        <v>117</v>
      </c>
      <c r="C41" s="32">
        <v>45509</v>
      </c>
      <c r="D41" t="s">
        <v>118</v>
      </c>
    </row>
    <row r="42" spans="2:5" x14ac:dyDescent="0.35">
      <c r="B42" t="s">
        <v>119</v>
      </c>
      <c r="C42" s="32">
        <v>45453</v>
      </c>
      <c r="D42" t="s">
        <v>120</v>
      </c>
    </row>
    <row r="43" spans="2:5" x14ac:dyDescent="0.35">
      <c r="B43" t="s">
        <v>121</v>
      </c>
      <c r="C43" s="32">
        <v>45202</v>
      </c>
      <c r="D43" t="s">
        <v>122</v>
      </c>
    </row>
    <row r="44" spans="2:5" x14ac:dyDescent="0.35">
      <c r="B44" t="s">
        <v>123</v>
      </c>
      <c r="C44" s="32">
        <v>45202</v>
      </c>
      <c r="D44" t="s">
        <v>122</v>
      </c>
    </row>
    <row r="45" spans="2:5" x14ac:dyDescent="0.35">
      <c r="B45" t="s">
        <v>124</v>
      </c>
      <c r="C45" s="32">
        <v>45202</v>
      </c>
      <c r="D45" t="s">
        <v>122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aaba9109-4097-4249-9b69-357899d900e6" xsi:nil="true"/>
    <lcf76f155ced4ddcb4097134ff3c332f xmlns="ef25444e-d169-4dc5-93fa-a7db39f41bab">
      <Terms xmlns="http://schemas.microsoft.com/office/infopath/2007/PartnerControls"/>
    </lcf76f155ced4ddcb4097134ff3c332f>
    <SharedWithUsers xmlns="aaba9109-4097-4249-9b69-357899d900e6">
      <UserInfo>
        <DisplayName>Rhys Berth-Jones</DisplayName>
        <AccountId>585</AccountId>
        <AccountType/>
      </UserInfo>
      <UserInfo>
        <DisplayName>Rethinkit Accounting</DisplayName>
        <AccountId>151</AccountId>
        <AccountType/>
      </UserInfo>
      <UserInfo>
        <DisplayName>Rethinkit Support</DisplayName>
        <AccountId>31</AccountId>
        <AccountType/>
      </UserInfo>
      <UserInfo>
        <DisplayName>Charles Karnati</DisplayName>
        <AccountId>28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DE2C3B92B6144DA7A2384C399B3C20" ma:contentTypeVersion="20" ma:contentTypeDescription="Create a new document." ma:contentTypeScope="" ma:versionID="4042df041fd8c72823967b0a53d76eb1">
  <xsd:schema xmlns:xsd="http://www.w3.org/2001/XMLSchema" xmlns:xs="http://www.w3.org/2001/XMLSchema" xmlns:p="http://schemas.microsoft.com/office/2006/metadata/properties" xmlns:ns1="http://schemas.microsoft.com/sharepoint/v3" xmlns:ns2="ef25444e-d169-4dc5-93fa-a7db39f41bab" xmlns:ns3="aaba9109-4097-4249-9b69-357899d900e6" targetNamespace="http://schemas.microsoft.com/office/2006/metadata/properties" ma:root="true" ma:fieldsID="671fe63458008d26b5002ea7ac2a6180" ns1:_="" ns2:_="" ns3:_="">
    <xsd:import namespace="http://schemas.microsoft.com/sharepoint/v3"/>
    <xsd:import namespace="ef25444e-d169-4dc5-93fa-a7db39f41bab"/>
    <xsd:import namespace="aaba9109-4097-4249-9b69-357899d900e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25444e-d169-4dc5-93fa-a7db39f41b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d2f065b1-1498-40d2-8d00-41b1755c0f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ba9109-4097-4249-9b69-357899d900e6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1674529-f3f5-43c2-8af3-1a38fc0ef3b2}" ma:internalName="TaxCatchAll" ma:showField="CatchAllData" ma:web="aaba9109-4097-4249-9b69-357899d900e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E324B1-FE5A-4DD3-9266-916C2301214C}">
  <ds:schemaRefs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purl.org/dc/elements/1.1/"/>
    <ds:schemaRef ds:uri="http://purl.org/dc/dcmitype/"/>
    <ds:schemaRef ds:uri="http://schemas.microsoft.com/sharepoint/v3"/>
    <ds:schemaRef ds:uri="http://schemas.microsoft.com/office/2006/metadata/properties"/>
    <ds:schemaRef ds:uri="ff79959e-47c7-45ee-85c4-e5de3ad6ce28"/>
    <ds:schemaRef ds:uri="http://schemas.openxmlformats.org/package/2006/metadata/core-properties"/>
    <ds:schemaRef ds:uri="9c78249a-bb87-4acf-a0ce-5e903ef54a8f"/>
    <ds:schemaRef ds:uri="http://purl.org/dc/terms/"/>
    <ds:schemaRef ds:uri="aaba9109-4097-4249-9b69-357899d900e6"/>
    <ds:schemaRef ds:uri="ef25444e-d169-4dc5-93fa-a7db39f41bab"/>
  </ds:schemaRefs>
</ds:datastoreItem>
</file>

<file path=customXml/itemProps2.xml><?xml version="1.0" encoding="utf-8"?>
<ds:datastoreItem xmlns:ds="http://schemas.openxmlformats.org/officeDocument/2006/customXml" ds:itemID="{6AC5C573-19E1-4F0E-9272-0AF0DB36A98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47AB1B-0650-4D6E-96E2-817A567297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f25444e-d169-4dc5-93fa-a7db39f41bab"/>
    <ds:schemaRef ds:uri="aaba9109-4097-4249-9b69-357899d900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Quotes</vt:lpstr>
      <vt:lpstr>PDF</vt:lpstr>
      <vt:lpstr>Info</vt:lpstr>
      <vt:lpstr>PDF!Print_Area</vt:lpstr>
      <vt:lpstr>varFilePrefix</vt:lpstr>
      <vt:lpstr>varLicenseKey</vt:lpstr>
      <vt:lpstr>varLicenseMax</vt:lpstr>
      <vt:lpstr>varQuoteBase</vt:lpstr>
      <vt:lpstr>varQuoteCount</vt:lpstr>
      <vt:lpstr>varQuoteDetail</vt:lpstr>
      <vt:lpstr>varQuoteHeader</vt:lpstr>
      <vt:lpstr>varQuoteNext</vt:lpstr>
      <vt:lpstr>varQuoteNo</vt:lpstr>
      <vt:lpstr>varQuoteTotal</vt:lpstr>
      <vt:lpstr>varVersion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</dc:creator>
  <cp:keywords/>
  <dc:description/>
  <cp:lastModifiedBy>Jason Simotas</cp:lastModifiedBy>
  <cp:revision/>
  <cp:lastPrinted>2024-12-06T19:55:34Z</cp:lastPrinted>
  <dcterms:created xsi:type="dcterms:W3CDTF">2015-06-05T18:17:20Z</dcterms:created>
  <dcterms:modified xsi:type="dcterms:W3CDTF">2024-12-07T21:03:02Z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0x010100E9DE2C3B92B6144DA7A2384C399B3C20</vt:lpwstr>
  </property>
  <property fmtid="{D5CDD505-2E9C-101B-9397-08002B2CF9AE}" pid="3" name="MediaServiceImageTags">
    <vt:lpwstr/>
  </property>
</Properties>
</file>